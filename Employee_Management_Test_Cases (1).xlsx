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Test Credentials" sheetId="3" state="visible" r:id="rId5"/>
  </sheets>
  <definedNames>
    <definedName function="false" hidden="true" localSheetId="0" name="_xlnm._FilterDatabase" vbProcedure="false">'Test Cases'!$A$4:$F$99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<sst xmlns="http://schemas.openxmlformats.org/spreadsheetml/2006/main" count="530" uniqueCount="411">
  <si>
    <t xml:space="preserve">Employee Management System — Test Cases</t>
  </si>
  <si>
    <t xml:space="preserve">Frontend: http://localhost:5173  |  Backend: http://localhost:5000  |  Database: db.json</t>
  </si>
  <si>
    <t xml:space="preserve">TC ID</t>
  </si>
  <si>
    <t xml:space="preserve">Category</t>
  </si>
  <si>
    <t xml:space="preserve">Test Case</t>
  </si>
  <si>
    <t xml:space="preserve">Input</t>
  </si>
  <si>
    <t xml:space="preserve">Expected Result</t>
  </si>
  <si>
    <t xml:space="preserve">Status</t>
  </si>
  <si>
    <t xml:space="preserve">TC-001</t>
  </si>
  <si>
    <t xml:space="preserve">Authentication</t>
  </si>
  <si>
    <t xml:space="preserve">Admin login — valid credentials</t>
  </si>
  <si>
    <t xml:space="preserve">username: admin, password: admin123, role: Admin</t>
  </si>
  <si>
    <t xml:space="preserve">Login success, redirect to Admin Dashboard</t>
  </si>
  <si>
    <t xml:space="preserve">TC-002</t>
  </si>
  <si>
    <t xml:space="preserve">Admin login — wrong password</t>
  </si>
  <si>
    <t xml:space="preserve">username: admin, password: wrongpass, role: Admin</t>
  </si>
  <si>
    <t xml:space="preserve">Error: "Invalid Admin credentials."</t>
  </si>
  <si>
    <t xml:space="preserve">TC-003</t>
  </si>
  <si>
    <t xml:space="preserve">Admin login — wrong username</t>
  </si>
  <si>
    <t xml:space="preserve">username: notadmin, password: admin123, role: Admin</t>
  </si>
  <si>
    <t xml:space="preserve">TC-004</t>
  </si>
  <si>
    <t xml:space="preserve">Employee login — valid (Bala)</t>
  </si>
  <si>
    <t xml:space="preserve">username: bala, password: bala123, role: Employee</t>
  </si>
  <si>
    <t xml:space="preserve">Login success, Employee dashboard for Bala</t>
  </si>
  <si>
    <t xml:space="preserve">TC-005</t>
  </si>
  <si>
    <t xml:space="preserve">Employee login — valid (Asbar)</t>
  </si>
  <si>
    <t xml:space="preserve">username: asbar, password: asbar123, role: Employee</t>
  </si>
  <si>
    <t xml:space="preserve">Login success, Employee dashboard for Asbar</t>
  </si>
  <si>
    <t xml:space="preserve">TC-006</t>
  </si>
  <si>
    <t xml:space="preserve">Employee login — valid (Nithis)</t>
  </si>
  <si>
    <t xml:space="preserve">username: nithis, password: nithis123, role: Employee</t>
  </si>
  <si>
    <t xml:space="preserve">Login success, Employee dashboard for Nithis</t>
  </si>
  <si>
    <t xml:space="preserve">TC-007</t>
  </si>
  <si>
    <t xml:space="preserve">Employee login — valid (Kamalesh)</t>
  </si>
  <si>
    <t xml:space="preserve">username: kamalesh, password: kamalesh123, role: Employee</t>
  </si>
  <si>
    <t xml:space="preserve">Login success, Employee dashboard for Kamalesh</t>
  </si>
  <si>
    <t xml:space="preserve">TC-008</t>
  </si>
  <si>
    <t xml:space="preserve">Employee login — wrong password</t>
  </si>
  <si>
    <t xml:space="preserve">username: bala, password: wrongpass, role: Employee</t>
  </si>
  <si>
    <t xml:space="preserve">Error: "Invalid Employee credentials."</t>
  </si>
  <si>
    <t xml:space="preserve">TC-009</t>
  </si>
  <si>
    <t xml:space="preserve">Login — empty fields</t>
  </si>
  <si>
    <t xml:space="preserve">Submit with empty username/password</t>
  </si>
  <si>
    <t xml:space="preserve">HTML5 validation prevents submission</t>
  </si>
  <si>
    <t xml:space="preserve">TC-010</t>
  </si>
  <si>
    <t xml:space="preserve">Role switch on login page</t>
  </si>
  <si>
    <t xml:space="preserve">Click Admin card then Employee card</t>
  </si>
  <si>
    <t xml:space="preserve">Form resets, active card highlights correctly</t>
  </si>
  <si>
    <t xml:space="preserve">TC-011</t>
  </si>
  <si>
    <t xml:space="preserve">Role-Based Access Control</t>
  </si>
  <si>
    <t xml:space="preserve">Employee cannot see Salary section</t>
  </si>
  <si>
    <t xml:space="preserve">Role: Employee</t>
  </si>
  <si>
    <t xml:space="preserve">Salary nav item NOT visible in sidebar</t>
  </si>
  <si>
    <t xml:space="preserve">TC-012</t>
  </si>
  <si>
    <t xml:space="preserve">Admin can see Salary section</t>
  </si>
  <si>
    <t xml:space="preserve">Role: Admin</t>
  </si>
  <si>
    <t xml:space="preserve">Salary nav item visible in sidebar</t>
  </si>
  <si>
    <t xml:space="preserve">TC-013</t>
  </si>
  <si>
    <t xml:space="preserve">Employee cannot access pay slip</t>
  </si>
  <si>
    <t xml:space="preserve">No pay slip view button, no salary page</t>
  </si>
  <si>
    <t xml:space="preserve">TC-014</t>
  </si>
  <si>
    <t xml:space="preserve">Admin can view any employee pay slip</t>
  </si>
  <si>
    <t xml:space="preserve">Pay slip button visible on employee cards and salary table</t>
  </si>
  <si>
    <t xml:space="preserve">TC-015</t>
  </si>
  <si>
    <t xml:space="preserve">Admin can add employees</t>
  </si>
  <si>
    <t xml:space="preserve">Add Employee form visible on Dashboard and Employees page</t>
  </si>
  <si>
    <t xml:space="preserve">TC-016</t>
  </si>
  <si>
    <t xml:space="preserve">Employee cannot add employees</t>
  </si>
  <si>
    <t xml:space="preserve">Add Employee form NOT visible</t>
  </si>
  <si>
    <t xml:space="preserve">TC-017</t>
  </si>
  <si>
    <t xml:space="preserve">Admin can delete employees</t>
  </si>
  <si>
    <t xml:space="preserve">Delete button visible on employee cards</t>
  </si>
  <si>
    <t xml:space="preserve">TC-018</t>
  </si>
  <si>
    <t xml:space="preserve">Employee cannot delete employees</t>
  </si>
  <si>
    <t xml:space="preserve">Delete button NOT visible</t>
  </si>
  <si>
    <t xml:space="preserve">TC-019</t>
  </si>
  <si>
    <t xml:space="preserve">Admin can mark attendance</t>
  </si>
  <si>
    <t xml:space="preserve">Present/Absent/Half Day buttons visible for all employees</t>
  </si>
  <si>
    <t xml:space="preserve">TC-020</t>
  </si>
  <si>
    <t xml:space="preserve">Employee can only view own attendance</t>
  </si>
  <si>
    <t xml:space="preserve">Read-only attendance log, no marking buttons</t>
  </si>
  <si>
    <t xml:space="preserve">TC-021</t>
  </si>
  <si>
    <t xml:space="preserve">Admin can change any password</t>
  </si>
  <si>
    <t xml:space="preserve">Change Password modal accessible from sidebar</t>
  </si>
  <si>
    <t xml:space="preserve">TC-022</t>
  </si>
  <si>
    <t xml:space="preserve">Employee can change own password</t>
  </si>
  <si>
    <t xml:space="preserve">TC-023</t>
  </si>
  <si>
    <t xml:space="preserve">Admin can export Excel</t>
  </si>
  <si>
    <t xml:space="preserve">Export Excel button visible in topbar</t>
  </si>
  <si>
    <t xml:space="preserve">TC-024</t>
  </si>
  <si>
    <t xml:space="preserve">Employee cannot export Excel</t>
  </si>
  <si>
    <t xml:space="preserve">Export Excel button NOT visible</t>
  </si>
  <si>
    <t xml:space="preserve">TC-025</t>
  </si>
  <si>
    <t xml:space="preserve">Attendance</t>
  </si>
  <si>
    <t xml:space="preserve">Mark employee Present</t>
  </si>
  <si>
    <t xml:space="preserve">Click Present button for any employee</t>
  </si>
  <si>
    <t xml:space="preserve">Green Present badge appears, DB updated</t>
  </si>
  <si>
    <t xml:space="preserve">TC-026</t>
  </si>
  <si>
    <t xml:space="preserve">Mark employee Absent</t>
  </si>
  <si>
    <t xml:space="preserve">Click Absent button for any employee</t>
  </si>
  <si>
    <t xml:space="preserve">Red Absent badge appears, DB updated</t>
  </si>
  <si>
    <t xml:space="preserve">TC-027</t>
  </si>
  <si>
    <t xml:space="preserve">Mark employee Half Day</t>
  </si>
  <si>
    <t xml:space="preserve">Click Half Day button for any employee</t>
  </si>
  <si>
    <t xml:space="preserve">Amber Half Day badge appears, DB updated</t>
  </si>
  <si>
    <t xml:space="preserve">TC-028</t>
  </si>
  <si>
    <t xml:space="preserve">Override attendance</t>
  </si>
  <si>
    <t xml:space="preserve">Mark Present then click Absent</t>
  </si>
  <si>
    <t xml:space="preserve">Status changes to Absent, overrides previous</t>
  </si>
  <si>
    <t xml:space="preserve">TC-029</t>
  </si>
  <si>
    <t xml:space="preserve">Attendance with note</t>
  </si>
  <si>
    <t xml:space="preserve">Enter note, then mark Present</t>
  </si>
  <si>
    <t xml:space="preserve">Badge shows "Present · [note]"</t>
  </si>
  <si>
    <t xml:space="preserve">TC-030</t>
  </si>
  <si>
    <t xml:space="preserve">View attendance by date</t>
  </si>
  <si>
    <t xml:space="preserve">Select different date in date picker</t>
  </si>
  <si>
    <t xml:space="preserve">Shows attendance for selected date</t>
  </si>
  <si>
    <t xml:space="preserve">TC-031</t>
  </si>
  <si>
    <t xml:space="preserve">Half Day count in stats</t>
  </si>
  <si>
    <t xml:space="preserve">Mark 2 employees as Half Day</t>
  </si>
  <si>
    <t xml:space="preserve">Half Day stat card shows count "2"</t>
  </si>
  <si>
    <t xml:space="preserve">TC-032</t>
  </si>
  <si>
    <t xml:space="preserve">Attendance persists on refresh</t>
  </si>
  <si>
    <t xml:space="preserve">Mark attendance, refresh page</t>
  </si>
  <si>
    <t xml:space="preserve">Same attendance records still shown</t>
  </si>
  <si>
    <t xml:space="preserve">TC-033</t>
  </si>
  <si>
    <t xml:space="preserve">Avatar System</t>
  </si>
  <si>
    <t xml:space="preserve">Open avatar modal</t>
  </si>
  <si>
    <t xml:space="preserve">Click avatar in sidebar or camera icon</t>
  </si>
  <si>
    <t xml:space="preserve">Avatar modal opens with current selection highlighted</t>
  </si>
  <si>
    <t xml:space="preserve">TC-034</t>
  </si>
  <si>
    <t xml:space="preserve">Select Preset 1</t>
  </si>
  <si>
    <t xml:space="preserve">Click Preset 1 in avatar grid</t>
  </si>
  <si>
    <t xml:space="preserve">Preview updates to Preset 1 gradient avatar</t>
  </si>
  <si>
    <t xml:space="preserve">TC-035</t>
  </si>
  <si>
    <t xml:space="preserve">Select Preset 2</t>
  </si>
  <si>
    <t xml:space="preserve">Click Preset 2 in avatar grid</t>
  </si>
  <si>
    <t xml:space="preserve">Preview updates to Preset 2 gradient avatar</t>
  </si>
  <si>
    <t xml:space="preserve">TC-036</t>
  </si>
  <si>
    <t xml:space="preserve">Select Preset 3</t>
  </si>
  <si>
    <t xml:space="preserve">Click Preset 3 in avatar grid</t>
  </si>
  <si>
    <t xml:space="preserve">Preview updates to Preset 3 gradient avatar</t>
  </si>
  <si>
    <t xml:space="preserve">TC-037</t>
  </si>
  <si>
    <t xml:space="preserve">Select Preset 4</t>
  </si>
  <si>
    <t xml:space="preserve">Click Preset 4 in avatar grid</t>
  </si>
  <si>
    <t xml:space="preserve">Preview updates to Preset 4 gradient avatar</t>
  </si>
  <si>
    <t xml:space="preserve">TC-038</t>
  </si>
  <si>
    <t xml:space="preserve">Upload photo</t>
  </si>
  <si>
    <t xml:space="preserve">Click upload zone, select image file</t>
  </si>
  <si>
    <t xml:space="preserve">Crop mode activates with canvas overlay</t>
  </si>
  <si>
    <t xml:space="preserve">TC-039</t>
  </si>
  <si>
    <t xml:space="preserve">Drag crop circle</t>
  </si>
  <si>
    <t xml:space="preserve">Click and drag the purple circle</t>
  </si>
  <si>
    <t xml:space="preserve">Crop position updates in real-time</t>
  </si>
  <si>
    <t xml:space="preserve">TC-040</t>
  </si>
  <si>
    <t xml:space="preserve">Apply crop</t>
  </si>
  <si>
    <t xml:space="preserve">Click "Apply Crop"</t>
  </si>
  <si>
    <t xml:space="preserve">Cropped round avatar preview appears</t>
  </si>
  <si>
    <t xml:space="preserve">TC-041</t>
  </si>
  <si>
    <t xml:space="preserve">Save avatar (preset)</t>
  </si>
  <si>
    <t xml:space="preserve">Select preset, click Save</t>
  </si>
  <si>
    <t xml:space="preserve">Employee card and sidebar avatar update</t>
  </si>
  <si>
    <t xml:space="preserve">TC-042</t>
  </si>
  <si>
    <t xml:space="preserve">Save avatar (photo)</t>
  </si>
  <si>
    <t xml:space="preserve">Upload, crop, save</t>
  </si>
  <si>
    <t xml:space="preserve">Cropped photo displayed as avatar everywhere</t>
  </si>
  <si>
    <t xml:space="preserve">TC-043</t>
  </si>
  <si>
    <t xml:space="preserve">Remove photo</t>
  </si>
  <si>
    <t xml:space="preserve">After uploading, click "Remove Photo"</t>
  </si>
  <si>
    <t xml:space="preserve">Reverts to preset avatar selection</t>
  </si>
  <si>
    <t xml:space="preserve">TC-044</t>
  </si>
  <si>
    <t xml:space="preserve">Avatar in employee cards</t>
  </si>
  <si>
    <t xml:space="preserve">After saving avatar</t>
  </si>
  <si>
    <t xml:space="preserve">Employee card shows new avatar</t>
  </si>
  <si>
    <t xml:space="preserve">TC-045</t>
  </si>
  <si>
    <t xml:space="preserve">Avatar in salary table</t>
  </si>
  <si>
    <t xml:space="preserve">Salary table row shows new avatar</t>
  </si>
  <si>
    <t xml:space="preserve">TC-046</t>
  </si>
  <si>
    <t xml:space="preserve">Avatar persists</t>
  </si>
  <si>
    <t xml:space="preserve">Save avatar, refresh page</t>
  </si>
  <si>
    <t xml:space="preserve">Avatar still shown after reload (via DB)</t>
  </si>
  <si>
    <t xml:space="preserve">TC-047</t>
  </si>
  <si>
    <t xml:space="preserve">Pay Slip</t>
  </si>
  <si>
    <t xml:space="preserve">Admin view pay slip</t>
  </si>
  <si>
    <t xml:space="preserve">Click "Slip" button in salary table</t>
  </si>
  <si>
    <t xml:space="preserve">Pay slip modal opens with correct employee data</t>
  </si>
  <si>
    <t xml:space="preserve">TC-048</t>
  </si>
  <si>
    <t xml:space="preserve">Pay slip calculations</t>
  </si>
  <si>
    <t xml:space="preserve">Open any pay slip</t>
  </si>
  <si>
    <t xml:space="preserve">Basic=50%, HRA=20%, Transport=10%, PF=12% of basic</t>
  </si>
  <si>
    <t xml:space="preserve">TC-049</t>
  </si>
  <si>
    <t xml:space="preserve">Download PDF button</t>
  </si>
  <si>
    <t xml:space="preserve">Click "Download PDF" in modal</t>
  </si>
  <si>
    <t xml:space="preserve">Browser print dialog opens</t>
  </si>
  <si>
    <t xml:space="preserve">TC-050</t>
  </si>
  <si>
    <t xml:space="preserve">Print CSS</t>
  </si>
  <si>
    <t xml:space="preserve">Trigger print</t>
  </si>
  <si>
    <t xml:space="preserve">Only pay slip visible, modal header hidden</t>
  </si>
  <si>
    <t xml:space="preserve">TC-051</t>
  </si>
  <si>
    <t xml:space="preserve">Pay slip has payment status</t>
  </si>
  <si>
    <t xml:space="preserve">Paid employee's slip</t>
  </si>
  <si>
    <t xml:space="preserve">Shows green "Paid" badge with date</t>
  </si>
  <si>
    <t xml:space="preserve">TC-052</t>
  </si>
  <si>
    <t xml:space="preserve">Pay slip — pending</t>
  </si>
  <si>
    <t xml:space="preserve">Pending employee's slip</t>
  </si>
  <si>
    <t xml:space="preserve">Shows amber "Pending" badge</t>
  </si>
  <si>
    <t xml:space="preserve">TC-053</t>
  </si>
  <si>
    <t xml:space="preserve">Close modal</t>
  </si>
  <si>
    <t xml:space="preserve">Click X or overlay</t>
  </si>
  <si>
    <t xml:space="preserve">Modal closes without saving</t>
  </si>
  <si>
    <t xml:space="preserve">TC-054</t>
  </si>
  <si>
    <t xml:space="preserve">Change Password</t>
  </si>
  <si>
    <t xml:space="preserve">Admin change password — success</t>
  </si>
  <si>
    <t xml:space="preserve">Current: admin123, New: newpass123, Confirm: newpass123</t>
  </si>
  <si>
    <t xml:space="preserve">Success message, password updated in DB</t>
  </si>
  <si>
    <t xml:space="preserve">TC-055</t>
  </si>
  <si>
    <t xml:space="preserve">Admin wrong current password</t>
  </si>
  <si>
    <t xml:space="preserve">Current: wrongpass, New: newpass123, Confirm: newpass123</t>
  </si>
  <si>
    <t xml:space="preserve">Error: "Current password is incorrect."</t>
  </si>
  <si>
    <t xml:space="preserve">TC-056</t>
  </si>
  <si>
    <t xml:space="preserve">Passwords don't match</t>
  </si>
  <si>
    <t xml:space="preserve">New: newpass123, Confirm: different</t>
  </si>
  <si>
    <t xml:space="preserve">Error: "New passwords do not match."</t>
  </si>
  <si>
    <t xml:space="preserve">TC-057</t>
  </si>
  <si>
    <t xml:space="preserve">Password too short</t>
  </si>
  <si>
    <t xml:space="preserve">New: abc, Confirm: abc</t>
  </si>
  <si>
    <t xml:space="preserve">Error: "New password must be at least 6 characters."</t>
  </si>
  <si>
    <t xml:space="preserve">TC-058</t>
  </si>
  <si>
    <t xml:space="preserve">Employee change own password</t>
  </si>
  <si>
    <t xml:space="preserve">Login as bala, change password</t>
  </si>
  <si>
    <t xml:space="preserve">Success, new password works on next login</t>
  </si>
  <si>
    <t xml:space="preserve">TC-059</t>
  </si>
  <si>
    <t xml:space="preserve">Admin login after password change</t>
  </si>
  <si>
    <t xml:space="preserve">Use new password</t>
  </si>
  <si>
    <t xml:space="preserve">Login succeeds with new password</t>
  </si>
  <si>
    <t xml:space="preserve">TC-060</t>
  </si>
  <si>
    <t xml:space="preserve">Show/hide password toggle</t>
  </si>
  <si>
    <t xml:space="preserve">Click eye icon in each field</t>
  </si>
  <si>
    <t xml:space="preserve">Field toggles between password/text type</t>
  </si>
  <si>
    <t xml:space="preserve">TC-061</t>
  </si>
  <si>
    <t xml:space="preserve">Modal closes after success</t>
  </si>
  <si>
    <t xml:space="preserve">Password saved</t>
  </si>
  <si>
    <t xml:space="preserve">Modal auto-closes after 2 seconds</t>
  </si>
  <si>
    <t xml:space="preserve">TC-062</t>
  </si>
  <si>
    <t xml:space="preserve">Dark/Light Mode</t>
  </si>
  <si>
    <t xml:space="preserve">Toggle dark to light</t>
  </si>
  <si>
    <t xml:space="preserve">Click theme toggle in topbar</t>
  </si>
  <si>
    <t xml:space="preserve">Full UI switches to bright white/blue palette</t>
  </si>
  <si>
    <t xml:space="preserve">TC-063</t>
  </si>
  <si>
    <t xml:space="preserve">Toggle light to dark</t>
  </si>
  <si>
    <t xml:space="preserve">Click theme toggle again</t>
  </si>
  <si>
    <t xml:space="preserve">Returns to dark purple/cyan neon palette</t>
  </si>
  <si>
    <t xml:space="preserve">TC-064</t>
  </si>
  <si>
    <t xml:space="preserve">Theme persists on refresh</t>
  </si>
  <si>
    <t xml:space="preserve">Set to light mode, refresh</t>
  </si>
  <si>
    <t xml:space="preserve">Light mode still active after reload</t>
  </si>
  <si>
    <t xml:space="preserve">TC-065</t>
  </si>
  <si>
    <t xml:space="preserve">Login page theme toggle</t>
  </si>
  <si>
    <t xml:space="preserve">Click theme button on login page</t>
  </si>
  <si>
    <t xml:space="preserve">Login page switches between dark/light</t>
  </si>
  <si>
    <t xml:space="preserve">TC-066</t>
  </si>
  <si>
    <t xml:space="preserve">Sidebar dark mode</t>
  </si>
  <si>
    <t xml:space="preserve">Dark theme active</t>
  </si>
  <si>
    <t xml:space="preserve">Sidebar has dark transparent glass background</t>
  </si>
  <si>
    <t xml:space="preserve">TC-067</t>
  </si>
  <si>
    <t xml:space="preserve">Sidebar light mode</t>
  </si>
  <si>
    <t xml:space="preserve">Light theme active</t>
  </si>
  <si>
    <t xml:space="preserve">Sidebar has white glass background</t>
  </si>
  <si>
    <t xml:space="preserve">TC-068</t>
  </si>
  <si>
    <t xml:space="preserve">Topbar theme toggle button</t>
  </si>
  <si>
    <t xml:space="preserve">Button renders correctly</t>
  </si>
  <si>
    <t xml:space="preserve">Sun icon in dark mode, Moon icon in light mode</t>
  </si>
  <si>
    <t xml:space="preserve">TC-069</t>
  </si>
  <si>
    <t xml:space="preserve">SVG Icons</t>
  </si>
  <si>
    <t xml:space="preserve">No emojis visible in UI</t>
  </si>
  <si>
    <t xml:space="preserve">Inspect all elements</t>
  </si>
  <si>
    <t xml:space="preserve">Zero emoji characters in production UI</t>
  </si>
  <si>
    <t xml:space="preserve">TC-070</t>
  </si>
  <si>
    <t xml:space="preserve">Nav icons render</t>
  </si>
  <si>
    <t xml:space="preserve">View sidebar navigation</t>
  </si>
  <si>
    <t xml:space="preserve">All 5 nav items show crisp SVG icons</t>
  </si>
  <si>
    <t xml:space="preserve">TC-071</t>
  </si>
  <si>
    <t xml:space="preserve">Attendance buttons have icons</t>
  </si>
  <si>
    <t xml:space="preserve">View attendance section</t>
  </si>
  <si>
    <t xml:space="preserve">Present/Absent/Half Day buttons have SVG icons</t>
  </si>
  <si>
    <t xml:space="preserve">TC-072</t>
  </si>
  <si>
    <t xml:space="preserve">Action buttons have icons</t>
  </si>
  <si>
    <t xml:space="preserve">View employee cards</t>
  </si>
  <si>
    <t xml:space="preserve">Camera, FileText, Trash icons on action buttons</t>
  </si>
  <si>
    <t xml:space="preserve">TC-073</t>
  </si>
  <si>
    <t xml:space="preserve">Stat cards have icons</t>
  </si>
  <si>
    <t xml:space="preserve">View home dashboard</t>
  </si>
  <si>
    <t xml:space="preserve">Users, Check, X, HalfCircle icons in stat cards</t>
  </si>
  <si>
    <t xml:space="preserve">TC-074</t>
  </si>
  <si>
    <t xml:space="preserve">Icons scale correctly</t>
  </si>
  <si>
    <t xml:space="preserve">Resize browser window</t>
  </si>
  <si>
    <t xml:space="preserve">Icons remain crisp at all sizes (SVG scalable)</t>
  </si>
  <si>
    <t xml:space="preserve">TC-075</t>
  </si>
  <si>
    <t xml:space="preserve">Excel Export</t>
  </si>
  <si>
    <t xml:space="preserve">Export Excel file</t>
  </si>
  <si>
    <t xml:space="preserve">Click Export Excel</t>
  </si>
  <si>
    <t xml:space="preserve">Downloads .xlsx file with 3 sheets</t>
  </si>
  <si>
    <t xml:space="preserve">TC-076</t>
  </si>
  <si>
    <t xml:space="preserve">Employees sheet</t>
  </si>
  <si>
    <t xml:space="preserve">Open exported file</t>
  </si>
  <si>
    <t xml:space="preserve">Sheet 1 has all employees with columns: EMP ID, Name, Role, Department, Status, Email, Salary</t>
  </si>
  <si>
    <t xml:space="preserve">TC-077</t>
  </si>
  <si>
    <t xml:space="preserve">Attendance sheet</t>
  </si>
  <si>
    <t xml:space="preserve">Sheet 2 has all attendance records with date and status</t>
  </si>
  <si>
    <t xml:space="preserve">TC-078</t>
  </si>
  <si>
    <t xml:space="preserve">Salary Records sheet</t>
  </si>
  <si>
    <t xml:space="preserve">Sheet 3 has salary history with paid/pending status</t>
  </si>
  <si>
    <t xml:space="preserve">TC-079</t>
  </si>
  <si>
    <t xml:space="preserve">Export logged in DB</t>
  </si>
  <si>
    <t xml:space="preserve">Export, check db.json</t>
  </si>
  <si>
    <t xml:space="preserve">exportLog array has new entry with timestamp</t>
  </si>
  <si>
    <t xml:space="preserve">TC-080</t>
  </si>
  <si>
    <t xml:space="preserve">Half Day in export</t>
  </si>
  <si>
    <t xml:space="preserve">Mark Half Day, export</t>
  </si>
  <si>
    <t xml:space="preserve">Attendance sheet shows "Half Day" status</t>
  </si>
  <si>
    <t xml:space="preserve">TC-081</t>
  </si>
  <si>
    <t xml:space="preserve">Employee Management</t>
  </si>
  <si>
    <t xml:space="preserve">Add new employee</t>
  </si>
  <si>
    <t xml:space="preserve">Fill all fields, click Add</t>
  </si>
  <si>
    <t xml:space="preserve">New employee appears in list with EMP-XXXX ID</t>
  </si>
  <si>
    <t xml:space="preserve">TC-082</t>
  </si>
  <si>
    <t xml:space="preserve">Auto salary assignment</t>
  </si>
  <si>
    <t xml:space="preserve">No salary entered</t>
  </si>
  <si>
    <t xml:space="preserve">Salary auto-assigned based on department range</t>
  </si>
  <si>
    <t xml:space="preserve">TC-083</t>
  </si>
  <si>
    <t xml:space="preserve">Custom salary</t>
  </si>
  <si>
    <t xml:space="preserve">Enter specific amount</t>
  </si>
  <si>
    <t xml:space="preserve">Employee gets that exact salary</t>
  </si>
  <si>
    <t xml:space="preserve">TC-084</t>
  </si>
  <si>
    <t xml:space="preserve">Search employees</t>
  </si>
  <si>
    <t xml:space="preserve">Type name/dept/role</t>
  </si>
  <si>
    <t xml:space="preserve">Filtered results shown in real-time</t>
  </si>
  <si>
    <t xml:space="preserve">TC-085</t>
  </si>
  <si>
    <t xml:space="preserve">Clear search</t>
  </si>
  <si>
    <t xml:space="preserve">Click X on search</t>
  </si>
  <si>
    <t xml:space="preserve">Full list restores</t>
  </si>
  <si>
    <t xml:space="preserve">TC-086</t>
  </si>
  <si>
    <t xml:space="preserve">Change employee status</t>
  </si>
  <si>
    <t xml:space="preserve">Select from dropdown</t>
  </si>
  <si>
    <t xml:space="preserve">Status badge updates immediately</t>
  </si>
  <si>
    <t xml:space="preserve">TC-087</t>
  </si>
  <si>
    <t xml:space="preserve">Edit salary inline</t>
  </si>
  <si>
    <t xml:space="preserve">Click salary amount in table</t>
  </si>
  <si>
    <t xml:space="preserve">Edit input appears, save icon</t>
  </si>
  <si>
    <t xml:space="preserve">TC-088</t>
  </si>
  <si>
    <t xml:space="preserve">Delete employee</t>
  </si>
  <si>
    <t xml:space="preserve">Click trash icon, confirm</t>
  </si>
  <si>
    <t xml:space="preserve">Employee removed from all lists and DB</t>
  </si>
  <si>
    <t xml:space="preserve">TC-089</t>
  </si>
  <si>
    <t xml:space="preserve">Cancel delete</t>
  </si>
  <si>
    <t xml:space="preserve">Click trash, cancel confirmation</t>
  </si>
  <si>
    <t xml:space="preserve">Nothing deleted</t>
  </si>
  <si>
    <t xml:space="preserve">TC-090</t>
  </si>
  <si>
    <t xml:space="preserve">Database Persistence</t>
  </si>
  <si>
    <t xml:space="preserve">Attendance persists</t>
  </si>
  <si>
    <t xml:space="preserve">Mark attendance, restart server</t>
  </si>
  <si>
    <t xml:space="preserve">Records still in DB</t>
  </si>
  <si>
    <t xml:space="preserve">TC-091</t>
  </si>
  <si>
    <t xml:space="preserve">New employee persists</t>
  </si>
  <si>
    <t xml:space="preserve">Add employee, restart server</t>
  </si>
  <si>
    <t xml:space="preserve">Employee still in DB</t>
  </si>
  <si>
    <t xml:space="preserve">TC-092</t>
  </si>
  <si>
    <t xml:space="preserve">Password change persists</t>
  </si>
  <si>
    <t xml:space="preserve">Change password, restart server</t>
  </si>
  <si>
    <t xml:space="preserve">New password works</t>
  </si>
  <si>
    <t xml:space="preserve">TC-093</t>
  </si>
  <si>
    <t xml:space="preserve">Set avatar, restart server</t>
  </si>
  <si>
    <t xml:space="preserve">Avatar still shown</t>
  </si>
  <si>
    <t xml:space="preserve">TC-094</t>
  </si>
  <si>
    <t xml:space="preserve">Schedule persists</t>
  </si>
  <si>
    <t xml:space="preserve">Add event, restart server</t>
  </si>
  <si>
    <t xml:space="preserve">Event still in schedule</t>
  </si>
  <si>
    <t xml:space="preserve">TC-095</t>
  </si>
  <si>
    <t xml:space="preserve">Salary update persists</t>
  </si>
  <si>
    <t xml:space="preserve">Edit salary, restart server</t>
  </si>
  <si>
    <t xml:space="preserve">New salary in DB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</si>
  <si>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</si>
  <si>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</si>
  <si>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</si>
  <si>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</si>
  <si>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Skipped</t>
  </si>
  <si>
    <t xml:space="preserve">Not Yet Run</t>
  </si>
  <si>
    <t xml:space="preserve">Pass Rate</t>
  </si>
  <si>
    <t xml:space="preserve">Total</t>
  </si>
  <si>
    <t xml:space="preserve">Known Credentials for Testing</t>
  </si>
  <si>
    <t xml:space="preserve">Role</t>
  </si>
  <si>
    <t xml:space="preserve">Username</t>
  </si>
  <si>
    <t xml:space="preserve">Password</t>
  </si>
  <si>
    <t xml:space="preserve">Admin</t>
  </si>
  <si>
    <t xml:space="preserve">admin</t>
  </si>
  <si>
    <t xml:space="preserve">admin123</t>
  </si>
  <si>
    <t xml:space="preserve">Employee</t>
  </si>
  <si>
    <t xml:space="preserve">bala</t>
  </si>
  <si>
    <t xml:space="preserve">bala123</t>
  </si>
  <si>
    <t xml:space="preserve">asbar</t>
  </si>
  <si>
    <t xml:space="preserve">asbar123</t>
  </si>
  <si>
    <t xml:space="preserve">nithis</t>
  </si>
  <si>
    <t xml:space="preserve">nithis123</t>
  </si>
  <si>
    <t xml:space="preserve">kamalesh</t>
  </si>
  <si>
    <t xml:space="preserve">kamalesh123</t>
  </si>
  <si>
    <t xml:space="preserve">How to Run Tests</t>
  </si>
  <si>
    <t xml:space="preserve">1. Start backend: node server.cjs</t>
  </si>
  <si>
    <t xml:space="preserve">2. Start frontend: npm run dev</t>
  </si>
  <si>
    <t xml:space="preserve">3. Open browser: http://localhost:5173</t>
  </si>
  <si>
    <t xml:space="preserve">4. Work through each test case</t>
  </si>
  <si>
    <t xml:space="preserve">5. Mark status: PASS / FAIL / SKIP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</si>
</sst>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/>
    </row>
    <row r="6" customFormat="false" ht="23.85" hidden="false" customHeight="false" outlineLevel="0" collapsed="false">
      <c r="A6" s="4" t="s">
        <v>13</v>
      </c>
      <c r="B6" s="4" t="s">
        <v>9</v>
      </c>
      <c r="C6" s="4" t="s">
        <v>14</v>
      </c>
      <c r="D6" s="4" t="s">
        <v>15</v>
      </c>
      <c r="E6" s="4" t="s">
        <v>16</v>
      </c>
      <c r="F6" s="4"/>
    </row>
    <row r="7" customFormat="false" ht="23.85" hidden="false" customHeight="false" outlineLevel="0" collapsed="false">
      <c r="A7" s="4" t="s">
        <v>17</v>
      </c>
      <c r="B7" s="4" t="s">
        <v>9</v>
      </c>
      <c r="C7" s="4" t="s">
        <v>18</v>
      </c>
      <c r="D7" s="4" t="s">
        <v>19</v>
      </c>
      <c r="E7" s="4" t="s">
        <v>16</v>
      </c>
      <c r="F7" s="4"/>
    </row>
    <row r="8" customFormat="false" ht="23.85" hidden="false" customHeight="false" outlineLevel="0" collapsed="false">
      <c r="A8" s="4" t="s">
        <v>20</v>
      </c>
      <c r="B8" s="4" t="s">
        <v>9</v>
      </c>
      <c r="C8" s="4" t="s">
        <v>21</v>
      </c>
      <c r="D8" s="4" t="s">
        <v>22</v>
      </c>
      <c r="E8" s="4" t="s">
        <v>23</v>
      </c>
      <c r="F8" s="4"/>
    </row>
    <row r="9" customFormat="false" ht="23.85" hidden="false" customHeight="false" outlineLevel="0" collapsed="false">
      <c r="A9" s="4" t="s">
        <v>24</v>
      </c>
      <c r="B9" s="4" t="s">
        <v>9</v>
      </c>
      <c r="C9" s="4" t="s">
        <v>25</v>
      </c>
      <c r="D9" s="4" t="s">
        <v>26</v>
      </c>
      <c r="E9" s="4" t="s">
        <v>27</v>
      </c>
      <c r="F9" s="4"/>
    </row>
    <row r="10" customFormat="false" ht="23.85" hidden="false" customHeight="false" outlineLevel="0" collapsed="false">
      <c r="A10" s="4" t="s">
        <v>28</v>
      </c>
      <c r="B10" s="4" t="s">
        <v>9</v>
      </c>
      <c r="C10" s="4" t="s">
        <v>29</v>
      </c>
      <c r="D10" s="4" t="s">
        <v>30</v>
      </c>
      <c r="E10" s="4" t="s">
        <v>31</v>
      </c>
      <c r="F10" s="4"/>
    </row>
    <row r="11" customFormat="false" ht="23.85" hidden="false" customHeight="false" outlineLevel="0" collapsed="false">
      <c r="A11" s="4" t="s">
        <v>32</v>
      </c>
      <c r="B11" s="4" t="s">
        <v>9</v>
      </c>
      <c r="C11" s="4" t="s">
        <v>33</v>
      </c>
      <c r="D11" s="4" t="s">
        <v>34</v>
      </c>
      <c r="E11" s="4" t="s">
        <v>35</v>
      </c>
      <c r="F11" s="4"/>
    </row>
    <row r="12" customFormat="false" ht="23.85" hidden="false" customHeight="false" outlineLevel="0" collapsed="false">
      <c r="A12" s="4" t="s">
        <v>36</v>
      </c>
      <c r="B12" s="4" t="s">
        <v>9</v>
      </c>
      <c r="C12" s="4" t="s">
        <v>37</v>
      </c>
      <c r="D12" s="4" t="s">
        <v>38</v>
      </c>
      <c r="E12" s="4" t="s">
        <v>39</v>
      </c>
      <c r="F12" s="4"/>
    </row>
    <row r="13" customFormat="false" ht="15" hidden="false" customHeight="false" outlineLevel="0" collapsed="false">
      <c r="A13" s="4" t="s">
        <v>40</v>
      </c>
      <c r="B13" s="4" t="s">
        <v>9</v>
      </c>
      <c r="C13" s="4" t="s">
        <v>41</v>
      </c>
      <c r="D13" s="4" t="s">
        <v>42</v>
      </c>
      <c r="E13" s="4" t="s">
        <v>43</v>
      </c>
      <c r="F13" s="4"/>
    </row>
    <row r="14" customFormat="false" ht="15" hidden="false" customHeight="false" outlineLevel="0" collapsed="false">
      <c r="A14" s="4" t="s">
        <v>44</v>
      </c>
      <c r="B14" s="4" t="s">
        <v>9</v>
      </c>
      <c r="C14" s="4" t="s">
        <v>45</v>
      </c>
      <c r="D14" s="4" t="s">
        <v>46</v>
      </c>
      <c r="E14" s="4" t="s">
        <v>47</v>
      </c>
      <c r="F14" s="4"/>
    </row>
    <row r="15" customFormat="false" ht="15" hidden="false" customHeight="false" outlineLevel="0" collapsed="false">
      <c r="A15" s="5" t="s">
        <v>48</v>
      </c>
      <c r="B15" s="5" t="s">
        <v>49</v>
      </c>
      <c r="C15" s="5" t="s">
        <v>50</v>
      </c>
      <c r="D15" s="5" t="s">
        <v>51</v>
      </c>
      <c r="E15" s="5" t="s">
        <v>52</v>
      </c>
      <c r="F15" s="5"/>
    </row>
    <row r="16" customFormat="false" ht="15" hidden="false" customHeight="false" outlineLevel="0" collapsed="false">
      <c r="A16" s="5" t="s">
        <v>53</v>
      </c>
      <c r="B16" s="5" t="s">
        <v>49</v>
      </c>
      <c r="C16" s="5" t="s">
        <v>54</v>
      </c>
      <c r="D16" s="5" t="s">
        <v>55</v>
      </c>
      <c r="E16" s="5" t="s">
        <v>56</v>
      </c>
      <c r="F16" s="5"/>
    </row>
    <row r="17" customFormat="false" ht="15" hidden="false" customHeight="false" outlineLevel="0" collapsed="false">
      <c r="A17" s="5" t="s">
        <v>57</v>
      </c>
      <c r="B17" s="5" t="s">
        <v>49</v>
      </c>
      <c r="C17" s="5" t="s">
        <v>58</v>
      </c>
      <c r="D17" s="5" t="s">
        <v>51</v>
      </c>
      <c r="E17" s="5" t="s">
        <v>59</v>
      </c>
      <c r="F17" s="5"/>
    </row>
    <row r="18" customFormat="false" ht="23.85" hidden="false" customHeight="false" outlineLevel="0" collapsed="false">
      <c r="A18" s="5" t="s">
        <v>60</v>
      </c>
      <c r="B18" s="5" t="s">
        <v>49</v>
      </c>
      <c r="C18" s="5" t="s">
        <v>61</v>
      </c>
      <c r="D18" s="5" t="s">
        <v>55</v>
      </c>
      <c r="E18" s="5" t="s">
        <v>62</v>
      </c>
      <c r="F18" s="5"/>
    </row>
    <row r="19" customFormat="false" ht="23.85" hidden="false" customHeight="false" outlineLevel="0" collapsed="false">
      <c r="A19" s="5" t="s">
        <v>63</v>
      </c>
      <c r="B19" s="5" t="s">
        <v>49</v>
      </c>
      <c r="C19" s="5" t="s">
        <v>64</v>
      </c>
      <c r="D19" s="5" t="s">
        <v>55</v>
      </c>
      <c r="E19" s="5" t="s">
        <v>65</v>
      </c>
      <c r="F19" s="5"/>
    </row>
    <row r="20" customFormat="false" ht="15" hidden="false" customHeight="false" outlineLevel="0" collapsed="false">
      <c r="A20" s="5" t="s">
        <v>66</v>
      </c>
      <c r="B20" s="5" t="s">
        <v>49</v>
      </c>
      <c r="C20" s="5" t="s">
        <v>67</v>
      </c>
      <c r="D20" s="5" t="s">
        <v>51</v>
      </c>
      <c r="E20" s="5" t="s">
        <v>68</v>
      </c>
      <c r="F20" s="5"/>
    </row>
    <row r="21" customFormat="false" ht="15" hidden="false" customHeight="false" outlineLevel="0" collapsed="false">
      <c r="A21" s="5" t="s">
        <v>69</v>
      </c>
      <c r="B21" s="5" t="s">
        <v>49</v>
      </c>
      <c r="C21" s="5" t="s">
        <v>70</v>
      </c>
      <c r="D21" s="5" t="s">
        <v>55</v>
      </c>
      <c r="E21" s="5" t="s">
        <v>71</v>
      </c>
      <c r="F21" s="5"/>
    </row>
    <row r="22" customFormat="false" ht="15" hidden="false" customHeight="false" outlineLevel="0" collapsed="false">
      <c r="A22" s="5" t="s">
        <v>72</v>
      </c>
      <c r="B22" s="5" t="s">
        <v>49</v>
      </c>
      <c r="C22" s="5" t="s">
        <v>73</v>
      </c>
      <c r="D22" s="5" t="s">
        <v>51</v>
      </c>
      <c r="E22" s="5" t="s">
        <v>74</v>
      </c>
      <c r="F22" s="5"/>
    </row>
    <row r="23" customFormat="false" ht="23.85" hidden="false" customHeight="false" outlineLevel="0" collapsed="false">
      <c r="A23" s="5" t="s">
        <v>75</v>
      </c>
      <c r="B23" s="5" t="s">
        <v>49</v>
      </c>
      <c r="C23" s="5" t="s">
        <v>76</v>
      </c>
      <c r="D23" s="5" t="s">
        <v>55</v>
      </c>
      <c r="E23" s="5" t="s">
        <v>77</v>
      </c>
      <c r="F23" s="5"/>
    </row>
    <row r="24" customFormat="false" ht="15" hidden="false" customHeight="false" outlineLevel="0" collapsed="false">
      <c r="A24" s="5" t="s">
        <v>78</v>
      </c>
      <c r="B24" s="5" t="s">
        <v>49</v>
      </c>
      <c r="C24" s="5" t="s">
        <v>79</v>
      </c>
      <c r="D24" s="5" t="s">
        <v>51</v>
      </c>
      <c r="E24" s="5" t="s">
        <v>80</v>
      </c>
      <c r="F24" s="5"/>
    </row>
    <row r="25" customFormat="false" ht="15" hidden="false" customHeight="false" outlineLevel="0" collapsed="false">
      <c r="A25" s="5" t="s">
        <v>81</v>
      </c>
      <c r="B25" s="5" t="s">
        <v>49</v>
      </c>
      <c r="C25" s="5" t="s">
        <v>82</v>
      </c>
      <c r="D25" s="5" t="s">
        <v>55</v>
      </c>
      <c r="E25" s="5" t="s">
        <v>83</v>
      </c>
      <c r="F25" s="5"/>
    </row>
    <row r="26" customFormat="false" ht="15" hidden="false" customHeight="false" outlineLevel="0" collapsed="false">
      <c r="A26" s="5" t="s">
        <v>84</v>
      </c>
      <c r="B26" s="5" t="s">
        <v>49</v>
      </c>
      <c r="C26" s="5" t="s">
        <v>85</v>
      </c>
      <c r="D26" s="5" t="s">
        <v>51</v>
      </c>
      <c r="E26" s="5" t="s">
        <v>83</v>
      </c>
      <c r="F26" s="5"/>
    </row>
    <row r="27" customFormat="false" ht="15" hidden="false" customHeight="false" outlineLevel="0" collapsed="false">
      <c r="A27" s="5" t="s">
        <v>86</v>
      </c>
      <c r="B27" s="5" t="s">
        <v>49</v>
      </c>
      <c r="C27" s="5" t="s">
        <v>87</v>
      </c>
      <c r="D27" s="5" t="s">
        <v>55</v>
      </c>
      <c r="E27" s="5" t="s">
        <v>88</v>
      </c>
      <c r="F27" s="5"/>
    </row>
    <row r="28" customFormat="false" ht="15" hidden="false" customHeight="false" outlineLevel="0" collapsed="false">
      <c r="A28" s="5" t="s">
        <v>89</v>
      </c>
      <c r="B28" s="5" t="s">
        <v>49</v>
      </c>
      <c r="C28" s="5" t="s">
        <v>90</v>
      </c>
      <c r="D28" s="5" t="s">
        <v>51</v>
      </c>
      <c r="E28" s="5" t="s">
        <v>91</v>
      </c>
      <c r="F28" s="5"/>
    </row>
    <row r="29" customFormat="false" ht="15" hidden="false" customHeight="false" outlineLevel="0" collapsed="false">
      <c r="A29" s="4" t="s">
        <v>92</v>
      </c>
      <c r="B29" s="4" t="s">
        <v>93</v>
      </c>
      <c r="C29" s="4" t="s">
        <v>94</v>
      </c>
      <c r="D29" s="4" t="s">
        <v>95</v>
      </c>
      <c r="E29" s="4" t="s">
        <v>96</v>
      </c>
      <c r="F29" s="4"/>
    </row>
    <row r="30" customFormat="false" ht="15" hidden="false" customHeight="false" outlineLevel="0" collapsed="false">
      <c r="A30" s="4" t="s">
        <v>97</v>
      </c>
      <c r="B30" s="4" t="s">
        <v>93</v>
      </c>
      <c r="C30" s="4" t="s">
        <v>98</v>
      </c>
      <c r="D30" s="4" t="s">
        <v>99</v>
      </c>
      <c r="E30" s="4" t="s">
        <v>100</v>
      </c>
      <c r="F30" s="4"/>
    </row>
    <row r="31" customFormat="false" ht="15" hidden="false" customHeight="false" outlineLevel="0" collapsed="false">
      <c r="A31" s="4" t="s">
        <v>101</v>
      </c>
      <c r="B31" s="4" t="s">
        <v>93</v>
      </c>
      <c r="C31" s="4" t="s">
        <v>102</v>
      </c>
      <c r="D31" s="4" t="s">
        <v>103</v>
      </c>
      <c r="E31" s="4" t="s">
        <v>104</v>
      </c>
      <c r="F31" s="4"/>
    </row>
    <row r="32" customFormat="false" ht="15" hidden="false" customHeight="false" outlineLevel="0" collapsed="false">
      <c r="A32" s="4" t="s">
        <v>105</v>
      </c>
      <c r="B32" s="4" t="s">
        <v>93</v>
      </c>
      <c r="C32" s="4" t="s">
        <v>106</v>
      </c>
      <c r="D32" s="4" t="s">
        <v>107</v>
      </c>
      <c r="E32" s="4" t="s">
        <v>108</v>
      </c>
      <c r="F32" s="4"/>
    </row>
    <row r="33" customFormat="false" ht="15" hidden="false" customHeight="false" outlineLevel="0" collapsed="false">
      <c r="A33" s="4" t="s">
        <v>109</v>
      </c>
      <c r="B33" s="4" t="s">
        <v>93</v>
      </c>
      <c r="C33" s="4" t="s">
        <v>110</v>
      </c>
      <c r="D33" s="4" t="s">
        <v>111</v>
      </c>
      <c r="E33" s="4" t="s">
        <v>112</v>
      </c>
      <c r="F33" s="4"/>
    </row>
    <row r="34" customFormat="false" ht="15" hidden="false" customHeight="false" outlineLevel="0" collapsed="false">
      <c r="A34" s="4" t="s">
        <v>113</v>
      </c>
      <c r="B34" s="4" t="s">
        <v>93</v>
      </c>
      <c r="C34" s="4" t="s">
        <v>114</v>
      </c>
      <c r="D34" s="4" t="s">
        <v>115</v>
      </c>
      <c r="E34" s="4" t="s">
        <v>116</v>
      </c>
      <c r="F34" s="4"/>
    </row>
    <row r="35" customFormat="false" ht="15" hidden="false" customHeight="false" outlineLevel="0" collapsed="false">
      <c r="A35" s="4" t="s">
        <v>117</v>
      </c>
      <c r="B35" s="4" t="s">
        <v>93</v>
      </c>
      <c r="C35" s="4" t="s">
        <v>118</v>
      </c>
      <c r="D35" s="4" t="s">
        <v>119</v>
      </c>
      <c r="E35" s="4" t="s">
        <v>120</v>
      </c>
      <c r="F35" s="4"/>
    </row>
    <row r="36" customFormat="false" ht="15" hidden="false" customHeight="false" outlineLevel="0" collapsed="false">
      <c r="A36" s="4" t="s">
        <v>121</v>
      </c>
      <c r="B36" s="4" t="s">
        <v>93</v>
      </c>
      <c r="C36" s="4" t="s">
        <v>122</v>
      </c>
      <c r="D36" s="4" t="s">
        <v>123</v>
      </c>
      <c r="E36" s="4" t="s">
        <v>124</v>
      </c>
      <c r="F36" s="4"/>
    </row>
    <row r="37" customFormat="false" ht="15" hidden="false" customHeight="false" outlineLevel="0" collapsed="false">
      <c r="A37" s="5" t="s">
        <v>125</v>
      </c>
      <c r="B37" s="5" t="s">
        <v>126</v>
      </c>
      <c r="C37" s="5" t="s">
        <v>127</v>
      </c>
      <c r="D37" s="5" t="s">
        <v>128</v>
      </c>
      <c r="E37" s="5" t="s">
        <v>129</v>
      </c>
      <c r="F37" s="5"/>
    </row>
    <row r="38" customFormat="false" ht="15" hidden="false" customHeight="false" outlineLevel="0" collapsed="false">
      <c r="A38" s="5" t="s">
        <v>130</v>
      </c>
      <c r="B38" s="5" t="s">
        <v>126</v>
      </c>
      <c r="C38" s="5" t="s">
        <v>131</v>
      </c>
      <c r="D38" s="5" t="s">
        <v>132</v>
      </c>
      <c r="E38" s="5" t="s">
        <v>133</v>
      </c>
      <c r="F38" s="5"/>
    </row>
    <row r="39" customFormat="false" ht="15" hidden="false" customHeight="false" outlineLevel="0" collapsed="false">
      <c r="A39" s="5" t="s">
        <v>134</v>
      </c>
      <c r="B39" s="5" t="s">
        <v>126</v>
      </c>
      <c r="C39" s="5" t="s">
        <v>135</v>
      </c>
      <c r="D39" s="5" t="s">
        <v>136</v>
      </c>
      <c r="E39" s="5" t="s">
        <v>137</v>
      </c>
      <c r="F39" s="5"/>
    </row>
    <row r="40" customFormat="false" ht="15" hidden="false" customHeight="false" outlineLevel="0" collapsed="false">
      <c r="A40" s="5" t="s">
        <v>138</v>
      </c>
      <c r="B40" s="5" t="s">
        <v>126</v>
      </c>
      <c r="C40" s="5" t="s">
        <v>139</v>
      </c>
      <c r="D40" s="5" t="s">
        <v>140</v>
      </c>
      <c r="E40" s="5" t="s">
        <v>141</v>
      </c>
      <c r="F40" s="5"/>
    </row>
    <row r="41" customFormat="false" ht="15" hidden="false" customHeight="false" outlineLevel="0" collapsed="false">
      <c r="A41" s="5" t="s">
        <v>142</v>
      </c>
      <c r="B41" s="5" t="s">
        <v>126</v>
      </c>
      <c r="C41" s="5" t="s">
        <v>143</v>
      </c>
      <c r="D41" s="5" t="s">
        <v>144</v>
      </c>
      <c r="E41" s="5" t="s">
        <v>145</v>
      </c>
      <c r="F41" s="5"/>
    </row>
    <row r="42" customFormat="false" ht="15" hidden="false" customHeight="false" outlineLevel="0" collapsed="false">
      <c r="A42" s="5" t="s">
        <v>146</v>
      </c>
      <c r="B42" s="5" t="s">
        <v>126</v>
      </c>
      <c r="C42" s="5" t="s">
        <v>147</v>
      </c>
      <c r="D42" s="5" t="s">
        <v>148</v>
      </c>
      <c r="E42" s="5" t="s">
        <v>149</v>
      </c>
      <c r="F42" s="5"/>
    </row>
    <row r="43" customFormat="false" ht="15" hidden="false" customHeight="false" outlineLevel="0" collapsed="false">
      <c r="A43" s="5" t="s">
        <v>150</v>
      </c>
      <c r="B43" s="5" t="s">
        <v>126</v>
      </c>
      <c r="C43" s="5" t="s">
        <v>151</v>
      </c>
      <c r="D43" s="5" t="s">
        <v>152</v>
      </c>
      <c r="E43" s="5" t="s">
        <v>153</v>
      </c>
      <c r="F43" s="5"/>
    </row>
    <row r="44" customFormat="false" ht="15" hidden="false" customHeight="false" outlineLevel="0" collapsed="false">
      <c r="A44" s="5" t="s">
        <v>154</v>
      </c>
      <c r="B44" s="5" t="s">
        <v>126</v>
      </c>
      <c r="C44" s="5" t="s">
        <v>155</v>
      </c>
      <c r="D44" s="5" t="s">
        <v>156</v>
      </c>
      <c r="E44" s="5" t="s">
        <v>157</v>
      </c>
      <c r="F44" s="5"/>
    </row>
    <row r="45" customFormat="false" ht="15" hidden="false" customHeight="false" outlineLevel="0" collapsed="false">
      <c r="A45" s="5" t="s">
        <v>158</v>
      </c>
      <c r="B45" s="5" t="s">
        <v>126</v>
      </c>
      <c r="C45" s="5" t="s">
        <v>159</v>
      </c>
      <c r="D45" s="5" t="s">
        <v>160</v>
      </c>
      <c r="E45" s="5" t="s">
        <v>161</v>
      </c>
      <c r="F45" s="5"/>
    </row>
    <row r="46" customFormat="false" ht="15" hidden="false" customHeight="false" outlineLevel="0" collapsed="false">
      <c r="A46" s="5" t="s">
        <v>162</v>
      </c>
      <c r="B46" s="5" t="s">
        <v>126</v>
      </c>
      <c r="C46" s="5" t="s">
        <v>163</v>
      </c>
      <c r="D46" s="5" t="s">
        <v>164</v>
      </c>
      <c r="E46" s="5" t="s">
        <v>165</v>
      </c>
      <c r="F46" s="5"/>
    </row>
    <row r="47" customFormat="false" ht="15" hidden="false" customHeight="false" outlineLevel="0" collapsed="false">
      <c r="A47" s="5" t="s">
        <v>166</v>
      </c>
      <c r="B47" s="5" t="s">
        <v>126</v>
      </c>
      <c r="C47" s="5" t="s">
        <v>167</v>
      </c>
      <c r="D47" s="5" t="s">
        <v>168</v>
      </c>
      <c r="E47" s="5" t="s">
        <v>169</v>
      </c>
      <c r="F47" s="5"/>
    </row>
    <row r="48" customFormat="false" ht="15" hidden="false" customHeight="false" outlineLevel="0" collapsed="false">
      <c r="A48" s="5" t="s">
        <v>170</v>
      </c>
      <c r="B48" s="5" t="s">
        <v>126</v>
      </c>
      <c r="C48" s="5" t="s">
        <v>171</v>
      </c>
      <c r="D48" s="5" t="s">
        <v>172</v>
      </c>
      <c r="E48" s="5" t="s">
        <v>173</v>
      </c>
      <c r="F48" s="5"/>
    </row>
    <row r="49" customFormat="false" ht="15" hidden="false" customHeight="false" outlineLevel="0" collapsed="false">
      <c r="A49" s="5" t="s">
        <v>174</v>
      </c>
      <c r="B49" s="5" t="s">
        <v>126</v>
      </c>
      <c r="C49" s="5" t="s">
        <v>175</v>
      </c>
      <c r="D49" s="5" t="s">
        <v>172</v>
      </c>
      <c r="E49" s="5" t="s">
        <v>176</v>
      </c>
      <c r="F49" s="5"/>
    </row>
    <row r="50" customFormat="false" ht="15" hidden="false" customHeight="false" outlineLevel="0" collapsed="false">
      <c r="A50" s="5" t="s">
        <v>177</v>
      </c>
      <c r="B50" s="5" t="s">
        <v>126</v>
      </c>
      <c r="C50" s="5" t="s">
        <v>178</v>
      </c>
      <c r="D50" s="5" t="s">
        <v>179</v>
      </c>
      <c r="E50" s="5" t="s">
        <v>180</v>
      </c>
      <c r="F50" s="5"/>
    </row>
    <row r="51" customFormat="false" ht="15" hidden="false" customHeight="false" outlineLevel="0" collapsed="false">
      <c r="A51" s="4" t="s">
        <v>181</v>
      </c>
      <c r="B51" s="4" t="s">
        <v>182</v>
      </c>
      <c r="C51" s="4" t="s">
        <v>183</v>
      </c>
      <c r="D51" s="4" t="s">
        <v>184</v>
      </c>
      <c r="E51" s="4" t="s">
        <v>185</v>
      </c>
      <c r="F51" s="4"/>
    </row>
    <row r="52" customFormat="false" ht="23.85" hidden="false" customHeight="false" outlineLevel="0" collapsed="false">
      <c r="A52" s="4" t="s">
        <v>186</v>
      </c>
      <c r="B52" s="4" t="s">
        <v>182</v>
      </c>
      <c r="C52" s="4" t="s">
        <v>187</v>
      </c>
      <c r="D52" s="4" t="s">
        <v>188</v>
      </c>
      <c r="E52" s="4" t="s">
        <v>189</v>
      </c>
      <c r="F52" s="4"/>
    </row>
    <row r="53" customFormat="false" ht="15" hidden="false" customHeight="false" outlineLevel="0" collapsed="false">
      <c r="A53" s="4" t="s">
        <v>190</v>
      </c>
      <c r="B53" s="4" t="s">
        <v>182</v>
      </c>
      <c r="C53" s="4" t="s">
        <v>191</v>
      </c>
      <c r="D53" s="4" t="s">
        <v>192</v>
      </c>
      <c r="E53" s="4" t="s">
        <v>193</v>
      </c>
      <c r="F53" s="4"/>
    </row>
    <row r="54" customFormat="false" ht="15" hidden="false" customHeight="false" outlineLevel="0" collapsed="false">
      <c r="A54" s="4" t="s">
        <v>194</v>
      </c>
      <c r="B54" s="4" t="s">
        <v>182</v>
      </c>
      <c r="C54" s="4" t="s">
        <v>195</v>
      </c>
      <c r="D54" s="4" t="s">
        <v>196</v>
      </c>
      <c r="E54" s="4" t="s">
        <v>197</v>
      </c>
      <c r="F54" s="4"/>
    </row>
    <row r="55" customFormat="false" ht="15" hidden="false" customHeight="false" outlineLevel="0" collapsed="false">
      <c r="A55" s="4" t="s">
        <v>198</v>
      </c>
      <c r="B55" s="4" t="s">
        <v>182</v>
      </c>
      <c r="C55" s="4" t="s">
        <v>199</v>
      </c>
      <c r="D55" s="4" t="s">
        <v>200</v>
      </c>
      <c r="E55" s="4" t="s">
        <v>201</v>
      </c>
      <c r="F55" s="4"/>
    </row>
    <row r="56" customFormat="false" ht="15" hidden="false" customHeight="false" outlineLevel="0" collapsed="false">
      <c r="A56" s="4" t="s">
        <v>202</v>
      </c>
      <c r="B56" s="4" t="s">
        <v>182</v>
      </c>
      <c r="C56" s="4" t="s">
        <v>203</v>
      </c>
      <c r="D56" s="4" t="s">
        <v>204</v>
      </c>
      <c r="E56" s="4" t="s">
        <v>205</v>
      </c>
      <c r="F56" s="4"/>
    </row>
    <row r="57" customFormat="false" ht="15" hidden="false" customHeight="false" outlineLevel="0" collapsed="false">
      <c r="A57" s="4" t="s">
        <v>206</v>
      </c>
      <c r="B57" s="4" t="s">
        <v>182</v>
      </c>
      <c r="C57" s="4" t="s">
        <v>207</v>
      </c>
      <c r="D57" s="4" t="s">
        <v>208</v>
      </c>
      <c r="E57" s="4" t="s">
        <v>209</v>
      </c>
      <c r="F57" s="4"/>
    </row>
    <row r="58" customFormat="false" ht="23.85" hidden="false" customHeight="false" outlineLevel="0" collapsed="false">
      <c r="A58" s="5" t="s">
        <v>210</v>
      </c>
      <c r="B58" s="5" t="s">
        <v>211</v>
      </c>
      <c r="C58" s="5" t="s">
        <v>212</v>
      </c>
      <c r="D58" s="5" t="s">
        <v>213</v>
      </c>
      <c r="E58" s="5" t="s">
        <v>214</v>
      </c>
      <c r="F58" s="5"/>
    </row>
    <row r="59" customFormat="false" ht="23.85" hidden="false" customHeight="false" outlineLevel="0" collapsed="false">
      <c r="A59" s="5" t="s">
        <v>215</v>
      </c>
      <c r="B59" s="5" t="s">
        <v>211</v>
      </c>
      <c r="C59" s="5" t="s">
        <v>216</v>
      </c>
      <c r="D59" s="5" t="s">
        <v>217</v>
      </c>
      <c r="E59" s="5" t="s">
        <v>218</v>
      </c>
      <c r="F59" s="5"/>
    </row>
    <row r="60" customFormat="false" ht="15" hidden="false" customHeight="false" outlineLevel="0" collapsed="false">
      <c r="A60" s="5" t="s">
        <v>219</v>
      </c>
      <c r="B60" s="5" t="s">
        <v>211</v>
      </c>
      <c r="C60" s="5" t="s">
        <v>220</v>
      </c>
      <c r="D60" s="5" t="s">
        <v>221</v>
      </c>
      <c r="E60" s="5" t="s">
        <v>222</v>
      </c>
      <c r="F60" s="5"/>
    </row>
    <row r="61" customFormat="false" ht="15" hidden="false" customHeight="false" outlineLevel="0" collapsed="false">
      <c r="A61" s="5" t="s">
        <v>223</v>
      </c>
      <c r="B61" s="5" t="s">
        <v>211</v>
      </c>
      <c r="C61" s="5" t="s">
        <v>224</v>
      </c>
      <c r="D61" s="5" t="s">
        <v>225</v>
      </c>
      <c r="E61" s="5" t="s">
        <v>226</v>
      </c>
      <c r="F61" s="5"/>
    </row>
    <row r="62" customFormat="false" ht="15" hidden="false" customHeight="false" outlineLevel="0" collapsed="false">
      <c r="A62" s="5" t="s">
        <v>227</v>
      </c>
      <c r="B62" s="5" t="s">
        <v>211</v>
      </c>
      <c r="C62" s="5" t="s">
        <v>228</v>
      </c>
      <c r="D62" s="5" t="s">
        <v>229</v>
      </c>
      <c r="E62" s="5" t="s">
        <v>230</v>
      </c>
      <c r="F62" s="5"/>
    </row>
    <row r="63" customFormat="false" ht="15" hidden="false" customHeight="false" outlineLevel="0" collapsed="false">
      <c r="A63" s="5" t="s">
        <v>231</v>
      </c>
      <c r="B63" s="5" t="s">
        <v>211</v>
      </c>
      <c r="C63" s="5" t="s">
        <v>232</v>
      </c>
      <c r="D63" s="5" t="s">
        <v>233</v>
      </c>
      <c r="E63" s="5" t="s">
        <v>234</v>
      </c>
      <c r="F63" s="5"/>
    </row>
    <row r="64" customFormat="false" ht="15" hidden="false" customHeight="false" outlineLevel="0" collapsed="false">
      <c r="A64" s="5" t="s">
        <v>235</v>
      </c>
      <c r="B64" s="5" t="s">
        <v>211</v>
      </c>
      <c r="C64" s="5" t="s">
        <v>236</v>
      </c>
      <c r="D64" s="5" t="s">
        <v>237</v>
      </c>
      <c r="E64" s="5" t="s">
        <v>238</v>
      </c>
      <c r="F64" s="5"/>
    </row>
    <row r="65" customFormat="false" ht="15" hidden="false" customHeight="false" outlineLevel="0" collapsed="false">
      <c r="A65" s="5" t="s">
        <v>239</v>
      </c>
      <c r="B65" s="5" t="s">
        <v>211</v>
      </c>
      <c r="C65" s="5" t="s">
        <v>240</v>
      </c>
      <c r="D65" s="5" t="s">
        <v>241</v>
      </c>
      <c r="E65" s="5" t="s">
        <v>242</v>
      </c>
      <c r="F65" s="5"/>
    </row>
    <row r="66" customFormat="false" ht="15" hidden="false" customHeight="false" outlineLevel="0" collapsed="false">
      <c r="A66" s="4" t="s">
        <v>243</v>
      </c>
      <c r="B66" s="4" t="s">
        <v>244</v>
      </c>
      <c r="C66" s="4" t="s">
        <v>245</v>
      </c>
      <c r="D66" s="4" t="s">
        <v>246</v>
      </c>
      <c r="E66" s="4" t="s">
        <v>247</v>
      </c>
      <c r="F66" s="4"/>
    </row>
    <row r="67" customFormat="false" ht="15" hidden="false" customHeight="false" outlineLevel="0" collapsed="false">
      <c r="A67" s="4" t="s">
        <v>248</v>
      </c>
      <c r="B67" s="4" t="s">
        <v>244</v>
      </c>
      <c r="C67" s="4" t="s">
        <v>249</v>
      </c>
      <c r="D67" s="4" t="s">
        <v>250</v>
      </c>
      <c r="E67" s="4" t="s">
        <v>251</v>
      </c>
      <c r="F67" s="4"/>
    </row>
    <row r="68" customFormat="false" ht="15" hidden="false" customHeight="false" outlineLevel="0" collapsed="false">
      <c r="A68" s="4" t="s">
        <v>252</v>
      </c>
      <c r="B68" s="4" t="s">
        <v>244</v>
      </c>
      <c r="C68" s="4" t="s">
        <v>253</v>
      </c>
      <c r="D68" s="4" t="s">
        <v>254</v>
      </c>
      <c r="E68" s="4" t="s">
        <v>255</v>
      </c>
      <c r="F68" s="4"/>
    </row>
    <row r="69" customFormat="false" ht="15" hidden="false" customHeight="false" outlineLevel="0" collapsed="false">
      <c r="A69" s="4" t="s">
        <v>256</v>
      </c>
      <c r="B69" s="4" t="s">
        <v>244</v>
      </c>
      <c r="C69" s="4" t="s">
        <v>257</v>
      </c>
      <c r="D69" s="4" t="s">
        <v>258</v>
      </c>
      <c r="E69" s="4" t="s">
        <v>259</v>
      </c>
      <c r="F69" s="4"/>
    </row>
    <row r="70" customFormat="false" ht="15" hidden="false" customHeight="false" outlineLevel="0" collapsed="false">
      <c r="A70" s="4" t="s">
        <v>260</v>
      </c>
      <c r="B70" s="4" t="s">
        <v>244</v>
      </c>
      <c r="C70" s="4" t="s">
        <v>261</v>
      </c>
      <c r="D70" s="4" t="s">
        <v>262</v>
      </c>
      <c r="E70" s="4" t="s">
        <v>263</v>
      </c>
      <c r="F70" s="4"/>
    </row>
    <row r="71" customFormat="false" ht="15" hidden="false" customHeight="false" outlineLevel="0" collapsed="false">
      <c r="A71" s="4" t="s">
        <v>264</v>
      </c>
      <c r="B71" s="4" t="s">
        <v>244</v>
      </c>
      <c r="C71" s="4" t="s">
        <v>265</v>
      </c>
      <c r="D71" s="4" t="s">
        <v>266</v>
      </c>
      <c r="E71" s="4" t="s">
        <v>267</v>
      </c>
      <c r="F71" s="4"/>
    </row>
    <row r="72" customFormat="false" ht="15" hidden="false" customHeight="false" outlineLevel="0" collapsed="false">
      <c r="A72" s="4" t="s">
        <v>268</v>
      </c>
      <c r="B72" s="4" t="s">
        <v>244</v>
      </c>
      <c r="C72" s="4" t="s">
        <v>269</v>
      </c>
      <c r="D72" s="4" t="s">
        <v>270</v>
      </c>
      <c r="E72" s="4" t="s">
        <v>271</v>
      </c>
      <c r="F72" s="4"/>
    </row>
    <row r="73" customFormat="false" ht="15" hidden="false" customHeight="false" outlineLevel="0" collapsed="false">
      <c r="A73" s="5" t="s">
        <v>272</v>
      </c>
      <c r="B73" s="5" t="s">
        <v>273</v>
      </c>
      <c r="C73" s="5" t="s">
        <v>274</v>
      </c>
      <c r="D73" s="5" t="s">
        <v>275</v>
      </c>
      <c r="E73" s="5" t="s">
        <v>276</v>
      </c>
      <c r="F73" s="5"/>
    </row>
    <row r="74" customFormat="false" ht="15" hidden="false" customHeight="false" outlineLevel="0" collapsed="false">
      <c r="A74" s="5" t="s">
        <v>277</v>
      </c>
      <c r="B74" s="5" t="s">
        <v>273</v>
      </c>
      <c r="C74" s="5" t="s">
        <v>278</v>
      </c>
      <c r="D74" s="5" t="s">
        <v>279</v>
      </c>
      <c r="E74" s="5" t="s">
        <v>280</v>
      </c>
      <c r="F74" s="5"/>
    </row>
    <row r="75" customFormat="false" ht="15" hidden="false" customHeight="false" outlineLevel="0" collapsed="false">
      <c r="A75" s="5" t="s">
        <v>281</v>
      </c>
      <c r="B75" s="5" t="s">
        <v>273</v>
      </c>
      <c r="C75" s="5" t="s">
        <v>282</v>
      </c>
      <c r="D75" s="5" t="s">
        <v>283</v>
      </c>
      <c r="E75" s="5" t="s">
        <v>284</v>
      </c>
      <c r="F75" s="5"/>
    </row>
    <row r="76" customFormat="false" ht="15" hidden="false" customHeight="false" outlineLevel="0" collapsed="false">
      <c r="A76" s="5" t="s">
        <v>285</v>
      </c>
      <c r="B76" s="5" t="s">
        <v>273</v>
      </c>
      <c r="C76" s="5" t="s">
        <v>286</v>
      </c>
      <c r="D76" s="5" t="s">
        <v>287</v>
      </c>
      <c r="E76" s="5" t="s">
        <v>288</v>
      </c>
      <c r="F76" s="5"/>
    </row>
    <row r="77" customFormat="false" ht="15" hidden="false" customHeight="false" outlineLevel="0" collapsed="false">
      <c r="A77" s="5" t="s">
        <v>289</v>
      </c>
      <c r="B77" s="5" t="s">
        <v>273</v>
      </c>
      <c r="C77" s="5" t="s">
        <v>290</v>
      </c>
      <c r="D77" s="5" t="s">
        <v>291</v>
      </c>
      <c r="E77" s="5" t="s">
        <v>292</v>
      </c>
      <c r="F77" s="5"/>
    </row>
    <row r="78" customFormat="false" ht="15" hidden="false" customHeight="false" outlineLevel="0" collapsed="false">
      <c r="A78" s="5" t="s">
        <v>293</v>
      </c>
      <c r="B78" s="5" t="s">
        <v>273</v>
      </c>
      <c r="C78" s="5" t="s">
        <v>294</v>
      </c>
      <c r="D78" s="5" t="s">
        <v>295</v>
      </c>
      <c r="E78" s="5" t="s">
        <v>296</v>
      </c>
      <c r="F78" s="5"/>
    </row>
    <row r="79" customFormat="false" ht="15" hidden="false" customHeight="false" outlineLevel="0" collapsed="false">
      <c r="A79" s="4" t="s">
        <v>297</v>
      </c>
      <c r="B79" s="4" t="s">
        <v>298</v>
      </c>
      <c r="C79" s="4" t="s">
        <v>299</v>
      </c>
      <c r="D79" s="4" t="s">
        <v>300</v>
      </c>
      <c r="E79" s="4" t="s">
        <v>301</v>
      </c>
      <c r="F79" s="4"/>
    </row>
    <row r="80" customFormat="false" ht="23.85" hidden="false" customHeight="false" outlineLevel="0" collapsed="false">
      <c r="A80" s="4" t="s">
        <v>302</v>
      </c>
      <c r="B80" s="4" t="s">
        <v>298</v>
      </c>
      <c r="C80" s="4" t="s">
        <v>303</v>
      </c>
      <c r="D80" s="4" t="s">
        <v>304</v>
      </c>
      <c r="E80" s="4" t="s">
        <v>305</v>
      </c>
      <c r="F80" s="4"/>
    </row>
    <row r="81" customFormat="false" ht="15" hidden="false" customHeight="false" outlineLevel="0" collapsed="false">
      <c r="A81" s="4" t="s">
        <v>306</v>
      </c>
      <c r="B81" s="4" t="s">
        <v>298</v>
      </c>
      <c r="C81" s="4" t="s">
        <v>307</v>
      </c>
      <c r="D81" s="4" t="s">
        <v>304</v>
      </c>
      <c r="E81" s="4" t="s">
        <v>308</v>
      </c>
      <c r="F81" s="4"/>
    </row>
    <row r="82" customFormat="false" ht="15" hidden="false" customHeight="false" outlineLevel="0" collapsed="false">
      <c r="A82" s="4" t="s">
        <v>309</v>
      </c>
      <c r="B82" s="4" t="s">
        <v>298</v>
      </c>
      <c r="C82" s="4" t="s">
        <v>310</v>
      </c>
      <c r="D82" s="4" t="s">
        <v>304</v>
      </c>
      <c r="E82" s="4" t="s">
        <v>311</v>
      </c>
      <c r="F82" s="4"/>
    </row>
    <row r="83" customFormat="false" ht="15" hidden="false" customHeight="false" outlineLevel="0" collapsed="false">
      <c r="A83" s="4" t="s">
        <v>312</v>
      </c>
      <c r="B83" s="4" t="s">
        <v>298</v>
      </c>
      <c r="C83" s="4" t="s">
        <v>313</v>
      </c>
      <c r="D83" s="4" t="s">
        <v>314</v>
      </c>
      <c r="E83" s="4" t="s">
        <v>315</v>
      </c>
      <c r="F83" s="4"/>
    </row>
    <row r="84" customFormat="false" ht="15" hidden="false" customHeight="false" outlineLevel="0" collapsed="false">
      <c r="A84" s="4" t="s">
        <v>316</v>
      </c>
      <c r="B84" s="4" t="s">
        <v>298</v>
      </c>
      <c r="C84" s="4" t="s">
        <v>317</v>
      </c>
      <c r="D84" s="4" t="s">
        <v>318</v>
      </c>
      <c r="E84" s="4" t="s">
        <v>319</v>
      </c>
      <c r="F84" s="4"/>
    </row>
    <row r="85" customFormat="false" ht="15" hidden="false" customHeight="false" outlineLevel="0" collapsed="false">
      <c r="A85" s="5" t="s">
        <v>320</v>
      </c>
      <c r="B85" s="5" t="s">
        <v>321</v>
      </c>
      <c r="C85" s="5" t="s">
        <v>322</v>
      </c>
      <c r="D85" s="5" t="s">
        <v>323</v>
      </c>
      <c r="E85" s="5" t="s">
        <v>324</v>
      </c>
      <c r="F85" s="5"/>
    </row>
    <row r="86" customFormat="false" ht="15" hidden="false" customHeight="false" outlineLevel="0" collapsed="false">
      <c r="A86" s="5" t="s">
        <v>325</v>
      </c>
      <c r="B86" s="5" t="s">
        <v>321</v>
      </c>
      <c r="C86" s="5" t="s">
        <v>326</v>
      </c>
      <c r="D86" s="5" t="s">
        <v>327</v>
      </c>
      <c r="E86" s="5" t="s">
        <v>328</v>
      </c>
      <c r="F86" s="5"/>
    </row>
    <row r="87" customFormat="false" ht="15" hidden="false" customHeight="false" outlineLevel="0" collapsed="false">
      <c r="A87" s="5" t="s">
        <v>329</v>
      </c>
      <c r="B87" s="5" t="s">
        <v>321</v>
      </c>
      <c r="C87" s="5" t="s">
        <v>330</v>
      </c>
      <c r="D87" s="5" t="s">
        <v>331</v>
      </c>
      <c r="E87" s="5" t="s">
        <v>332</v>
      </c>
      <c r="F87" s="5"/>
    </row>
    <row r="88" customFormat="false" ht="15" hidden="false" customHeight="false" outlineLevel="0" collapsed="false">
      <c r="A88" s="5" t="s">
        <v>333</v>
      </c>
      <c r="B88" s="5" t="s">
        <v>321</v>
      </c>
      <c r="C88" s="5" t="s">
        <v>334</v>
      </c>
      <c r="D88" s="5" t="s">
        <v>335</v>
      </c>
      <c r="E88" s="5" t="s">
        <v>336</v>
      </c>
      <c r="F88" s="5"/>
    </row>
    <row r="89" customFormat="false" ht="15" hidden="false" customHeight="false" outlineLevel="0" collapsed="false">
      <c r="A89" s="5" t="s">
        <v>337</v>
      </c>
      <c r="B89" s="5" t="s">
        <v>321</v>
      </c>
      <c r="C89" s="5" t="s">
        <v>338</v>
      </c>
      <c r="D89" s="5" t="s">
        <v>339</v>
      </c>
      <c r="E89" s="5" t="s">
        <v>340</v>
      </c>
      <c r="F89" s="5"/>
    </row>
    <row r="90" customFormat="false" ht="15" hidden="false" customHeight="false" outlineLevel="0" collapsed="false">
      <c r="A90" s="5" t="s">
        <v>341</v>
      </c>
      <c r="B90" s="5" t="s">
        <v>321</v>
      </c>
      <c r="C90" s="5" t="s">
        <v>342</v>
      </c>
      <c r="D90" s="5" t="s">
        <v>343</v>
      </c>
      <c r="E90" s="5" t="s">
        <v>344</v>
      </c>
      <c r="F90" s="5"/>
    </row>
    <row r="91" customFormat="false" ht="15" hidden="false" customHeight="false" outlineLevel="0" collapsed="false">
      <c r="A91" s="5" t="s">
        <v>345</v>
      </c>
      <c r="B91" s="5" t="s">
        <v>321</v>
      </c>
      <c r="C91" s="5" t="s">
        <v>346</v>
      </c>
      <c r="D91" s="5" t="s">
        <v>347</v>
      </c>
      <c r="E91" s="5" t="s">
        <v>348</v>
      </c>
      <c r="F91" s="5"/>
    </row>
    <row r="92" customFormat="false" ht="15" hidden="false" customHeight="false" outlineLevel="0" collapsed="false">
      <c r="A92" s="5" t="s">
        <v>349</v>
      </c>
      <c r="B92" s="5" t="s">
        <v>321</v>
      </c>
      <c r="C92" s="5" t="s">
        <v>350</v>
      </c>
      <c r="D92" s="5" t="s">
        <v>351</v>
      </c>
      <c r="E92" s="5" t="s">
        <v>352</v>
      </c>
      <c r="F92" s="5"/>
    </row>
    <row r="93" customFormat="false" ht="15" hidden="false" customHeight="false" outlineLevel="0" collapsed="false">
      <c r="A93" s="5" t="s">
        <v>353</v>
      </c>
      <c r="B93" s="5" t="s">
        <v>321</v>
      </c>
      <c r="C93" s="5" t="s">
        <v>354</v>
      </c>
      <c r="D93" s="5" t="s">
        <v>355</v>
      </c>
      <c r="E93" s="5" t="s">
        <v>356</v>
      </c>
      <c r="F93" s="5"/>
    </row>
    <row r="94" customFormat="false" ht="15" hidden="false" customHeight="false" outlineLevel="0" collapsed="false">
      <c r="A94" s="4" t="s">
        <v>357</v>
      </c>
      <c r="B94" s="4" t="s">
        <v>358</v>
      </c>
      <c r="C94" s="4" t="s">
        <v>359</v>
      </c>
      <c r="D94" s="4" t="s">
        <v>360</v>
      </c>
      <c r="E94" s="4" t="s">
        <v>361</v>
      </c>
      <c r="F94" s="4"/>
    </row>
    <row r="95" customFormat="false" ht="15" hidden="false" customHeight="false" outlineLevel="0" collapsed="false">
      <c r="A95" s="4" t="s">
        <v>362</v>
      </c>
      <c r="B95" s="4" t="s">
        <v>358</v>
      </c>
      <c r="C95" s="4" t="s">
        <v>363</v>
      </c>
      <c r="D95" s="4" t="s">
        <v>364</v>
      </c>
      <c r="E95" s="4" t="s">
        <v>365</v>
      </c>
      <c r="F95" s="4"/>
    </row>
    <row r="96" customFormat="false" ht="15" hidden="false" customHeight="false" outlineLevel="0" collapsed="false">
      <c r="A96" s="4" t="s">
        <v>366</v>
      </c>
      <c r="B96" s="4" t="s">
        <v>358</v>
      </c>
      <c r="C96" s="4" t="s">
        <v>367</v>
      </c>
      <c r="D96" s="4" t="s">
        <v>368</v>
      </c>
      <c r="E96" s="4" t="s">
        <v>369</v>
      </c>
      <c r="F96" s="4"/>
    </row>
    <row r="97" customFormat="false" ht="15" hidden="false" customHeight="false" outlineLevel="0" collapsed="false">
      <c r="A97" s="4" t="s">
        <v>370</v>
      </c>
      <c r="B97" s="4" t="s">
        <v>358</v>
      </c>
      <c r="C97" s="4" t="s">
        <v>178</v>
      </c>
      <c r="D97" s="4" t="s">
        <v>371</v>
      </c>
      <c r="E97" s="4" t="s">
        <v>372</v>
      </c>
      <c r="F97" s="4"/>
    </row>
    <row r="98" customFormat="false" ht="15" hidden="false" customHeight="false" outlineLevel="0" collapsed="false">
      <c r="A98" s="4" t="s">
        <v>373</v>
      </c>
      <c r="B98" s="4" t="s">
        <v>358</v>
      </c>
      <c r="C98" s="4" t="s">
        <v>374</v>
      </c>
      <c r="D98" s="4" t="s">
        <v>375</v>
      </c>
      <c r="E98" s="4" t="s">
        <v>376</v>
      </c>
      <c r="F98" s="4"/>
    </row>
    <row r="99" customFormat="false" ht="15" hidden="false" customHeight="false" outlineLevel="0" collapsed="false">
      <c r="A99" s="4" t="s">
        <v>377</v>
      </c>
      <c r="B99" s="4" t="s">
        <v>358</v>
      </c>
      <c r="C99" s="4" t="s">
        <v>378</v>
      </c>
      <c r="D99" s="4" t="s">
        <v>379</v>
      </c>
      <c r="E99" s="4" t="s">
        <v>380</v>
      </c>
      <c r="F99" s="4"/>
    </row>
  </sheetData>
  <autoFilter ref="A4:F99"/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99" type="list">
      <formula1>"PASS,FAIL,SKIP"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</cols>
  <sheetData>
    <row r="1" customFormat="false" ht="21.75" hidden="false" customHeight="true" outlineLevel="0" collapsed="false">
      <c r="A1" s="1" t="s">
        <v>381</v>
      </c>
      <c r="B1" s="1"/>
      <c r="C1" s="1"/>
      <c r="D1" s="1"/>
    </row>
    <row r="3" customFormat="false" ht="15" hidden="false" customHeight="false" outlineLevel="0" collapsed="false">
      <c r="A3" s="6" t="s">
        <v>382</v>
      </c>
      <c r="B3" s="7" t="n">
        <f aca="false">COUNTA('Test Cases'!A5:A99)</f>
        <v>95</v>
      </c>
    </row>
    <row r="4" customFormat="false" ht="15" hidden="false" customHeight="false" outlineLevel="0" collapsed="false">
      <c r="A4" s="6" t="s">
        <v>383</v>
      </c>
      <c r="B4" s="7" t="n">
        <f aca="false">COUNTIF('Test Cases'!F5:F99,"PASS")</f>
        <v>0</v>
      </c>
    </row>
    <row r="5" customFormat="false" ht="15" hidden="false" customHeight="false" outlineLevel="0" collapsed="false">
      <c r="A5" s="6" t="s">
        <v>384</v>
      </c>
      <c r="B5" s="7" t="n">
        <f aca="false">COUNTIF('Test Cases'!F5:F99,"FAIL")</f>
        <v>0</v>
      </c>
    </row>
    <row r="6" customFormat="false" ht="15" hidden="false" customHeight="false" outlineLevel="0" collapsed="false">
      <c r="A6" s="6" t="s">
        <v>385</v>
      </c>
      <c r="B6" s="7" t="n">
        <f aca="false">COUNTIF('Test Cases'!F5:F99,"SKIP")</f>
        <v>0</v>
      </c>
    </row>
    <row r="7" customFormat="false" ht="15" hidden="false" customHeight="false" outlineLevel="0" collapsed="false">
      <c r="A7" s="6" t="s">
        <v>386</v>
      </c>
      <c r="B7" s="7" t="n">
        <f aca="false">B3-B4-B5-B6</f>
        <v>95</v>
      </c>
    </row>
    <row r="8" customFormat="false" ht="15" hidden="false" customHeight="false" outlineLevel="0" collapsed="false">
      <c r="A8" s="6" t="s">
        <v>387</v>
      </c>
      <c r="B8" s="8" t="n">
        <f aca="false">IFERROR(B4/B3,0)</f>
        <v>0</v>
      </c>
    </row>
    <row r="11" customFormat="false" ht="15" hidden="false" customHeight="false" outlineLevel="0" collapsed="false">
      <c r="A11" s="3" t="s">
        <v>3</v>
      </c>
      <c r="B11" s="3" t="s">
        <v>388</v>
      </c>
      <c r="C11" s="3" t="s">
        <v>383</v>
      </c>
      <c r="D11" s="3" t="s">
        <v>384</v>
      </c>
    </row>
    <row r="12" customFormat="false" ht="15" hidden="false" customHeight="false" outlineLevel="0" collapsed="false">
      <c r="A12" s="9" t="s">
        <v>9</v>
      </c>
      <c r="B12" s="9" t="n">
        <f aca="false">COUNTIF('Test Cases'!B5:B99,A12)</f>
        <v>10</v>
      </c>
      <c r="C12" s="9" t="n">
        <f aca="false">COUNTIFS('Test Cases'!B5:B99,A12,'Test Cases'!F5:F99,"PASS")</f>
        <v>0</v>
      </c>
      <c r="D12" s="9" t="n">
        <f aca="false">COUNTIFS('Test Cases'!B5:B99,A12,'Test Cases'!F5:F99,"FAIL")</f>
        <v>0</v>
      </c>
    </row>
    <row r="13" customFormat="false" ht="15" hidden="false" customHeight="false" outlineLevel="0" collapsed="false">
      <c r="A13" s="9" t="s">
        <v>49</v>
      </c>
      <c r="B13" s="9" t="n">
        <f aca="false">COUNTIF('Test Cases'!B5:B99,A13)</f>
        <v>14</v>
      </c>
      <c r="C13" s="9" t="n">
        <f aca="false">COUNTIFS('Test Cases'!B5:B99,A13,'Test Cases'!F5:F99,"PASS")</f>
        <v>0</v>
      </c>
      <c r="D13" s="9" t="n">
        <f aca="false">COUNTIFS('Test Cases'!B5:B99,A13,'Test Cases'!F5:F99,"FAIL")</f>
        <v>0</v>
      </c>
    </row>
    <row r="14" customFormat="false" ht="15" hidden="false" customHeight="false" outlineLevel="0" collapsed="false">
      <c r="A14" s="9" t="s">
        <v>93</v>
      </c>
      <c r="B14" s="9" t="n">
        <f aca="false">COUNTIF('Test Cases'!B5:B99,A14)</f>
        <v>8</v>
      </c>
      <c r="C14" s="9" t="n">
        <f aca="false">COUNTIFS('Test Cases'!B5:B99,A14,'Test Cases'!F5:F99,"PASS")</f>
        <v>0</v>
      </c>
      <c r="D14" s="9" t="n">
        <f aca="false">COUNTIFS('Test Cases'!B5:B99,A14,'Test Cases'!F5:F99,"FAIL")</f>
        <v>0</v>
      </c>
    </row>
    <row r="15" customFormat="false" ht="15" hidden="false" customHeight="false" outlineLevel="0" collapsed="false">
      <c r="A15" s="9" t="s">
        <v>126</v>
      </c>
      <c r="B15" s="9" t="n">
        <f aca="false">COUNTIF('Test Cases'!B5:B99,A15)</f>
        <v>14</v>
      </c>
      <c r="C15" s="9" t="n">
        <f aca="false">COUNTIFS('Test Cases'!B5:B99,A15,'Test Cases'!F5:F99,"PASS")</f>
        <v>0</v>
      </c>
      <c r="D15" s="9" t="n">
        <f aca="false">COUNTIFS('Test Cases'!B5:B99,A15,'Test Cases'!F5:F99,"FAIL")</f>
        <v>0</v>
      </c>
    </row>
    <row r="16" customFormat="false" ht="15" hidden="false" customHeight="false" outlineLevel="0" collapsed="false">
      <c r="A16" s="9" t="s">
        <v>182</v>
      </c>
      <c r="B16" s="9" t="n">
        <f aca="false">COUNTIF('Test Cases'!B5:B99,A16)</f>
        <v>7</v>
      </c>
      <c r="C16" s="9" t="n">
        <f aca="false">COUNTIFS('Test Cases'!B5:B99,A16,'Test Cases'!F5:F99,"PASS")</f>
        <v>0</v>
      </c>
      <c r="D16" s="9" t="n">
        <f aca="false">COUNTIFS('Test Cases'!B5:B99,A16,'Test Cases'!F5:F99,"FAIL")</f>
        <v>0</v>
      </c>
    </row>
    <row r="17" customFormat="false" ht="15" hidden="false" customHeight="false" outlineLevel="0" collapsed="false">
      <c r="A17" s="9" t="s">
        <v>211</v>
      </c>
      <c r="B17" s="9" t="n">
        <f aca="false">COUNTIF('Test Cases'!B5:B99,A17)</f>
        <v>8</v>
      </c>
      <c r="C17" s="9" t="n">
        <f aca="false">COUNTIFS('Test Cases'!B5:B99,A17,'Test Cases'!F5:F99,"PASS")</f>
        <v>0</v>
      </c>
      <c r="D17" s="9" t="n">
        <f aca="false">COUNTIFS('Test Cases'!B5:B99,A17,'Test Cases'!F5:F99,"FAIL")</f>
        <v>0</v>
      </c>
    </row>
    <row r="18" customFormat="false" ht="15" hidden="false" customHeight="false" outlineLevel="0" collapsed="false">
      <c r="A18" s="9" t="s">
        <v>244</v>
      </c>
      <c r="B18" s="9" t="n">
        <f aca="false">COUNTIF('Test Cases'!B5:B99,A18)</f>
        <v>7</v>
      </c>
      <c r="C18" s="9" t="n">
        <f aca="false">COUNTIFS('Test Cases'!B5:B99,A18,'Test Cases'!F5:F99,"PASS")</f>
        <v>0</v>
      </c>
      <c r="D18" s="9" t="n">
        <f aca="false">COUNTIFS('Test Cases'!B5:B99,A18,'Test Cases'!F5:F99,"FAIL")</f>
        <v>0</v>
      </c>
    </row>
    <row r="19" customFormat="false" ht="15" hidden="false" customHeight="false" outlineLevel="0" collapsed="false">
      <c r="A19" s="9" t="s">
        <v>273</v>
      </c>
      <c r="B19" s="9" t="n">
        <f aca="false">COUNTIF('Test Cases'!B5:B99,A19)</f>
        <v>6</v>
      </c>
      <c r="C19" s="9" t="n">
        <f aca="false">COUNTIFS('Test Cases'!B5:B99,A19,'Test Cases'!F5:F99,"PASS")</f>
        <v>0</v>
      </c>
      <c r="D19" s="9" t="n">
        <f aca="false">COUNTIFS('Test Cases'!B5:B99,A19,'Test Cases'!F5:F99,"FAIL")</f>
        <v>0</v>
      </c>
    </row>
    <row r="20" customFormat="false" ht="15" hidden="false" customHeight="false" outlineLevel="0" collapsed="false">
      <c r="A20" s="9" t="s">
        <v>298</v>
      </c>
      <c r="B20" s="9" t="n">
        <f aca="false">COUNTIF('Test Cases'!B5:B99,A20)</f>
        <v>6</v>
      </c>
      <c r="C20" s="9" t="n">
        <f aca="false">COUNTIFS('Test Cases'!B5:B99,A20,'Test Cases'!F5:F99,"PASS")</f>
        <v>0</v>
      </c>
      <c r="D20" s="9" t="n">
        <f aca="false">COUNTIFS('Test Cases'!B5:B99,A20,'Test Cases'!F5:F99,"FAIL")</f>
        <v>0</v>
      </c>
    </row>
    <row r="21" customFormat="false" ht="15" hidden="false" customHeight="false" outlineLevel="0" collapsed="false">
      <c r="A21" s="9" t="s">
        <v>321</v>
      </c>
      <c r="B21" s="9" t="n">
        <f aca="false">COUNTIF('Test Cases'!B5:B99,A21)</f>
        <v>9</v>
      </c>
      <c r="C21" s="9" t="n">
        <f aca="false">COUNTIFS('Test Cases'!B5:B99,A21,'Test Cases'!F5:F99,"PASS")</f>
        <v>0</v>
      </c>
      <c r="D21" s="9" t="n">
        <f aca="false">COUNTIFS('Test Cases'!B5:B99,A21,'Test Cases'!F5:F99,"FAIL")</f>
        <v>0</v>
      </c>
    </row>
    <row r="22" customFormat="false" ht="15" hidden="false" customHeight="false" outlineLevel="0" collapsed="false">
      <c r="A22" s="9" t="s">
        <v>358</v>
      </c>
      <c r="B22" s="9" t="n">
        <f aca="false">COUNTIF('Test Cases'!B5:B99,A22)</f>
        <v>6</v>
      </c>
      <c r="C22" s="9" t="n">
        <f aca="false">COUNTIFS('Test Cases'!B5:B99,A22,'Test Cases'!F5:F99,"PASS")</f>
        <v>0</v>
      </c>
      <c r="D22" s="9" t="n">
        <f aca="false">COUNTIFS('Test Cases'!B5:B99,A22,'Test Cases'!F5:F99,"FAIL")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21.75" hidden="false" customHeight="true" outlineLevel="0" collapsed="false">
      <c r="A1" s="1" t="s">
        <v>389</v>
      </c>
      <c r="B1" s="1"/>
      <c r="C1" s="1"/>
    </row>
    <row r="3" customFormat="false" ht="15" hidden="false" customHeight="false" outlineLevel="0" collapsed="false">
      <c r="A3" s="3" t="s">
        <v>390</v>
      </c>
      <c r="B3" s="3" t="s">
        <v>391</v>
      </c>
      <c r="C3" s="3" t="s">
        <v>392</v>
      </c>
    </row>
    <row r="4" customFormat="false" ht="15" hidden="false" customHeight="false" outlineLevel="0" collapsed="false">
      <c r="A4" s="9" t="s">
        <v>393</v>
      </c>
      <c r="B4" s="9" t="s">
        <v>394</v>
      </c>
      <c r="C4" s="9" t="s">
        <v>395</v>
      </c>
    </row>
    <row r="5" customFormat="false" ht="15" hidden="false" customHeight="false" outlineLevel="0" collapsed="false">
      <c r="A5" s="9" t="s">
        <v>396</v>
      </c>
      <c r="B5" s="9" t="s">
        <v>397</v>
      </c>
      <c r="C5" s="9" t="s">
        <v>398</v>
      </c>
    </row>
    <row r="6" customFormat="false" ht="15" hidden="false" customHeight="false" outlineLevel="0" collapsed="false">
      <c r="A6" s="9" t="s">
        <v>396</v>
      </c>
      <c r="B6" s="9" t="s">
        <v>399</v>
      </c>
      <c r="C6" s="9" t="s">
        <v>400</v>
      </c>
    </row>
    <row r="7" customFormat="false" ht="15" hidden="false" customHeight="false" outlineLevel="0" collapsed="false">
      <c r="A7" s="9" t="s">
        <v>396</v>
      </c>
      <c r="B7" s="9" t="s">
        <v>401</v>
      </c>
      <c r="C7" s="9" t="s">
        <v>402</v>
      </c>
    </row>
    <row r="8" customFormat="false" ht="15" hidden="false" customHeight="false" outlineLevel="0" collapsed="false">
      <c r="A8" s="9" t="s">
        <v>396</v>
      </c>
      <c r="B8" s="9" t="s">
        <v>403</v>
      </c>
      <c r="C8" s="9" t="s">
        <v>404</v>
      </c>
    </row>
    <row r="11" customFormat="false" ht="15" hidden="false" customHeight="false" outlineLevel="0" collapsed="false">
      <c r="A11" s="10" t="s">
        <v>405</v>
      </c>
    </row>
    <row r="12" customFormat="false" ht="15" hidden="false" customHeight="false" outlineLevel="0" collapsed="false">
      <c r="A12" s="11" t="s">
        <v>406</v>
      </c>
    </row>
    <row r="13" customFormat="false" ht="15" hidden="false" customHeight="false" outlineLevel="0" collapsed="false">
      <c r="A13" s="11" t="s">
        <v>407</v>
      </c>
    </row>
    <row r="14" customFormat="false" ht="15" hidden="false" customHeight="false" outlineLevel="0" collapsed="false">
      <c r="A14" s="11" t="s">
        <v>408</v>
      </c>
    </row>
    <row r="15" customFormat="false" ht="15" hidden="false" customHeight="false" outlineLevel="0" collapsed="false">
      <c r="A15" s="11" t="s">
        <v>409</v>
      </c>
    </row>
    <row r="16" customFormat="false" ht="15" hidden="false" customHeight="false" outlineLevel="0" collapsed="false">
      <c r="A16" s="11" t="s">
        <v>410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2026-07-18T09:22:51Z</dcterms:created>
  <dc:creator>openpyxl</dc:creator>
  <dc:description/>
  <dc:language>en-US</dc:language>
  <cp:lastModifiedBy/>
  <dcterms:modified xsi:type="dcterms:W3CDTF">2026-07-18T09:22:51Z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